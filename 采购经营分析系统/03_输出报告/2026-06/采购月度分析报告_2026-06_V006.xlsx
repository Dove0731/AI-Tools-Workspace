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驾驶舱" sheetId="1" state="visible" r:id="rId1"/>
    <sheet xmlns:r="http://schemas.openxmlformats.org/officeDocument/2006/relationships" name="本月采购明细" sheetId="2" state="visible" r:id="rId2"/>
    <sheet xmlns:r="http://schemas.openxmlformats.org/officeDocument/2006/relationships" name="历史价格对比" sheetId="3" state="visible" r:id="rId3"/>
    <sheet xmlns:r="http://schemas.openxmlformats.org/officeDocument/2006/relationships" name="节约金额明细" sheetId="4" state="visible" r:id="rId4"/>
    <sheet xmlns:r="http://schemas.openxmlformats.org/officeDocument/2006/relationships" name="涨价影响明细" sheetId="5" state="visible" r:id="rId5"/>
    <sheet xmlns:r="http://schemas.openxmlformats.org/officeDocument/2006/relationships" name="品类分析" sheetId="6" state="visible" r:id="rId6"/>
    <sheet xmlns:r="http://schemas.openxmlformats.org/officeDocument/2006/relationships" name="供应商分析" sheetId="7" state="visible" r:id="rId7"/>
    <sheet xmlns:r="http://schemas.openxmlformats.org/officeDocument/2006/relationships" name="价格异常清单" sheetId="8" state="visible" r:id="rId8"/>
    <sheet xmlns:r="http://schemas.openxmlformats.org/officeDocument/2006/relationships" name="待人工确认" sheetId="9" state="visible" r:id="rId9"/>
    <sheet xmlns:r="http://schemas.openxmlformats.org/officeDocument/2006/relationships" name="计算口径说明" sheetId="10" state="visible" r:id="rId10"/>
  </sheets>
  <definedNames>
    <definedName name="_xlnm._FilterDatabase" localSheetId="1" hidden="1">'本月采购明细'!$A$1:$V$8</definedName>
    <definedName name="_xlnm._FilterDatabase" localSheetId="2" hidden="1">'历史价格对比'!$A$1:$Q$8</definedName>
    <definedName name="_xlnm._FilterDatabase" localSheetId="3" hidden="1">'节约金额明细'!$A$1:$V$8</definedName>
    <definedName name="_xlnm._FilterDatabase" localSheetId="4" hidden="1">'涨价影响明细'!$A$1:$J$3</definedName>
    <definedName name="_xlnm._FilterDatabase" localSheetId="5" hidden="1">'品类分析'!$A$1:$F$5</definedName>
    <definedName name="_xlnm._FilterDatabase" localSheetId="6" hidden="1">'供应商分析'!$A$1:$F$8</definedName>
    <definedName name="_xlnm._FilterDatabase" localSheetId="7" hidden="1">'价格异常清单'!$A$1:$K$14</definedName>
    <definedName name="_xlnm._FilterDatabase" localSheetId="8" hidden="1">'待人工确认'!$A$1:$G$7</definedName>
    <definedName name="_xlnm._FilterDatabase" localSheetId="9" hidden="1">'计算口径说明'!$A$1:$C$13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%"/>
    <numFmt numFmtId="166" formatCode="yyyy-mm-dd h:mm:ss"/>
    <numFmt numFmtId="167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1F4E78"/>
    </font>
    <font>
      <b val="1"/>
      <color rgb="001F4E78"/>
      <sz val="16"/>
    </font>
    <font>
      <b val="1"/>
      <color rgb="00006100"/>
      <sz val="16"/>
    </font>
    <font>
      <b val="1"/>
      <color rgb="009C0006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0" pivotButton="0" quotePrefix="0" xfId="0"/>
    <xf numFmtId="0" fontId="8" fillId="4" borderId="0" pivotButton="0" quotePrefix="0" xfId="0"/>
    <xf numFmtId="4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E2F0D9"/>
        </patternFill>
      </fill>
    </dxf>
    <dxf>
      <font>
        <color rgb="009C0006"/>
      </font>
      <fill>
        <patternFill patternType="solid">
          <fgColor rgb="00FCE4D6"/>
        </patternFill>
      </fill>
    </dxf>
    <dxf>
      <font>
        <b val="1"/>
        <color rgb="009C00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各品类采购金额占比</a:t>
            </a:r>
          </a:p>
        </rich>
      </tx>
    </title>
    <plotArea>
      <pieChart>
        <varyColors val="1"/>
        <ser>
          <idx val="0"/>
          <order val="0"/>
          <tx>
            <strRef>
              <f>'管理驾驶舱'!B28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'管理驾驶舱'!$A$29:$A$32</f>
            </numRef>
          </cat>
          <val>
            <numRef>
              <f>'管理驾驶舱'!$B$29:$B$32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近12个月采购金额趋势（含税）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'管理驾驶舱'!F28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'管理驾驶舱'!$E$29:$E$40</f>
            </numRef>
          </cat>
          <val>
            <numRef>
              <f>'管理驾驶舱'!$F$29:$F$40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近12个月跨物料加权平均单价（仅辅助观察）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'管理驾驶舱'!G28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'管理驾驶舱'!$E$29:$E$40</f>
            </numRef>
          </cat>
          <val>
            <numRef>
              <f>'管理驾驶舱'!$G$29:$G$40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统一税价口径单价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57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Current" displayName="TCurrent" ref="A1:V8" headerRowCount="1">
  <autoFilter ref="A1:V8"/>
  <tableColumns count="22">
    <tableColumn id="1" name="订单号"/>
    <tableColumn id="2" name="订单日期"/>
    <tableColumn id="3" name="物料编码"/>
    <tableColumn id="4" name="标准物料名称"/>
    <tableColumn id="5" name="物料类别"/>
    <tableColumn id="6" name="标准规格"/>
    <tableColumn id="7" name="计量单位"/>
    <tableColumn id="8" name="标准单位"/>
    <tableColumn id="9" name="采购数量"/>
    <tableColumn id="10" name="标准数量"/>
    <tableColumn id="11" name="含税单价"/>
    <tableColumn id="12" name="未税单价"/>
    <tableColumn id="13" name="税率"/>
    <tableColumn id="14" name="含税金额"/>
    <tableColumn id="15" name="供应商名称"/>
    <tableColumn id="16" name="采购员"/>
    <tableColumn id="17" name="订单状态"/>
    <tableColumn id="18" name="赠品或零价格"/>
    <tableColumn id="19" name="可比状态"/>
    <tableColumn id="20" name="_源文件"/>
    <tableColumn id="21" name="_源工作表"/>
    <tableColumn id="22" name="_源行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istoryCompare" displayName="THistoryCompare" ref="A1:Q8" headerRowCount="1">
  <autoFilter ref="A1:Q8"/>
  <tableColumns count="17">
    <tableColumn id="1" name="订单号"/>
    <tableColumn id="2" name="订单日期"/>
    <tableColumn id="3" name="物料编码"/>
    <tableColumn id="4" name="标准物料名称"/>
    <tableColumn id="5" name="标准规格"/>
    <tableColumn id="6" name="标准单位"/>
    <tableColumn id="7" name="供应商名称"/>
    <tableColumn id="8" name="标准比较单价"/>
    <tableColumn id="9" name="上次采购价"/>
    <tableColumn id="10" name="近12个月加权平均价"/>
    <tableColumn id="11" name="近12个月最低价"/>
    <tableColumn id="12" name="近12个月最高价"/>
    <tableColumn id="13" name="历史有效记录数"/>
    <tableColumn id="14" name="首次采购"/>
    <tableColumn id="15" name="规格变化"/>
    <tableColumn id="16" name="单位变化"/>
    <tableColumn id="17" name="可比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Savings" displayName="TSavings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ncrease" displayName="TIncrease" ref="A1:J3" headerRowCount="1">
  <autoFilter ref="A1:J3"/>
  <tableColumns count="10">
    <tableColumn id="1" name="订单号"/>
    <tableColumn id="2" name="订单日期"/>
    <tableColumn id="3" name="物料编码"/>
    <tableColumn id="4" name="标准物料名称"/>
    <tableColumn id="5" name="供应商名称"/>
    <tableColumn id="6" name="标准数量"/>
    <tableColumn id="7" name="标准比较单价"/>
    <tableColumn id="8" name="近12个月加权平均价"/>
    <tableColumn id="9" name="涨价影响金额"/>
    <tableColumn id="10" name="人工确认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Category" displayName="TCategory" ref="A1:F5" headerRowCount="1">
  <autoFilter ref="A1:F5"/>
  <tableColumns count="6">
    <tableColumn id="1" name="物料类别"/>
    <tableColumn id="2" name="采购金额"/>
    <tableColumn id="3" name="订单数"/>
    <tableColumn id="4" name="物料数"/>
    <tableColumn id="5" name="采购数量"/>
    <tableColumn id="6" name="金额占比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upplier" displayName="TSupplier" ref="A1:F8" headerRowCount="1">
  <autoFilter ref="A1:F8"/>
  <tableColumns count="6">
    <tableColumn id="1" name="供应商名称"/>
    <tableColumn id="2" name="采购金额"/>
    <tableColumn id="3" name="订单数"/>
    <tableColumn id="4" name="物料数"/>
    <tableColumn id="5" name="历史基准节约金额"/>
    <tableColumn id="6" name="涨价影响金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nomaly" displayName="TAnomaly" ref="A1:K14" headerRowCount="1">
  <autoFilter ref="A1:K14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Confirm" displayName="TConfirm" ref="A1:G7" headerRowCount="1">
  <autoFilter ref="A1:G7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Methods" displayName="TMethods" ref="A1:C13" headerRowCount="1">
  <autoFilter ref="A1:C13"/>
  <tableColumns count="3">
    <tableColumn id="1" name="项目"/>
    <tableColumn id="2" name="口径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4" customWidth="1" min="4" max="4"/>
    <col width="24" customWidth="1" min="5" max="5"/>
    <col width="16" customWidth="1" min="6" max="6"/>
    <col width="18" customWidth="1" min="7" max="7"/>
    <col width="4" customWidth="1" min="8" max="8"/>
  </cols>
  <sheetData>
    <row r="1">
      <c r="A1" s="1" t="inlineStr">
        <is>
          <t>采购月度管理驾驶舱｜2026-06</t>
        </is>
      </c>
    </row>
    <row r="2"/>
    <row r="3">
      <c r="A3" s="2" t="inlineStr">
        <is>
          <t>版本 V006｜生成时间 2026-07-27 11:27｜正式节约口径：近12个月加权平均价，经人工确认后计入</t>
        </is>
      </c>
    </row>
    <row r="5">
      <c r="A5" s="3" t="inlineStr">
        <is>
          <t>本月订单数</t>
        </is>
      </c>
      <c r="B5" s="4" t="n"/>
      <c r="C5" s="3" t="inlineStr">
        <is>
          <t>采购总金额</t>
        </is>
      </c>
      <c r="D5" s="4" t="n"/>
      <c r="E5" s="3" t="inlineStr">
        <is>
          <t>采购物料数</t>
        </is>
      </c>
      <c r="F5" s="4" t="n"/>
      <c r="G5" s="3" t="inlineStr">
        <is>
          <t>活跃供应商数</t>
        </is>
      </c>
      <c r="H5" s="4" t="n"/>
    </row>
    <row r="6">
      <c r="A6" s="5" t="n">
        <v>7</v>
      </c>
      <c r="B6" s="4" t="n"/>
      <c r="C6" s="6" t="n">
        <v>181821</v>
      </c>
      <c r="D6" s="4" t="n"/>
      <c r="E6" s="5" t="n">
        <v>5</v>
      </c>
      <c r="F6" s="4" t="n"/>
      <c r="G6" s="5" t="n">
        <v>7</v>
      </c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3" t="inlineStr">
        <is>
          <t>经确认节约金额</t>
        </is>
      </c>
      <c r="B8" s="4" t="n"/>
      <c r="C8" s="3" t="inlineStr">
        <is>
          <t>节约率</t>
        </is>
      </c>
      <c r="D8" s="4" t="n"/>
      <c r="E8" s="3" t="inlineStr">
        <is>
          <t>涨价影响金额</t>
        </is>
      </c>
      <c r="F8" s="4" t="n"/>
      <c r="G8" s="3" t="inlineStr">
        <is>
          <t>异常记录数</t>
        </is>
      </c>
      <c r="H8" s="4" t="n"/>
    </row>
    <row r="9">
      <c r="A9" s="7" t="n">
        <v>0</v>
      </c>
      <c r="B9" s="4" t="n"/>
      <c r="C9" s="8" t="n">
        <v>0</v>
      </c>
      <c r="D9" s="4" t="n"/>
      <c r="E9" s="9" t="n">
        <v>9029.090909090912</v>
      </c>
      <c r="F9" s="4" t="n"/>
      <c r="G9" s="10" t="n">
        <v>13</v>
      </c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4">
      <c r="A14" s="11" t="inlineStr">
        <is>
          <t>节约贡献 TOP10 物料（未确认，仅分析值）</t>
        </is>
      </c>
      <c r="E14" s="11" t="inlineStr">
        <is>
          <t>涨价影响 TOP10 物料</t>
        </is>
      </c>
    </row>
    <row r="15">
      <c r="A15" s="12" t="inlineStr">
        <is>
          <t>物料</t>
        </is>
      </c>
      <c r="B15" s="12" t="inlineStr">
        <is>
          <t>节约金额</t>
        </is>
      </c>
      <c r="E15" s="12" t="inlineStr">
        <is>
          <t>物料</t>
        </is>
      </c>
      <c r="F15" s="12" t="inlineStr">
        <is>
          <t>涨价影响</t>
        </is>
      </c>
    </row>
    <row r="16">
      <c r="A16" t="inlineStr">
        <is>
          <t>RM001 透明质酸钠</t>
        </is>
      </c>
      <c r="B16" s="13" t="n">
        <v>68.40000000000013</v>
      </c>
      <c r="E16" t="inlineStr">
        <is>
          <t>PK001 30ml滴管瓶</t>
        </is>
      </c>
      <c r="F16" s="13" t="n">
        <v>8909.090909090912</v>
      </c>
    </row>
    <row r="17">
      <c r="E17" t="inlineStr">
        <is>
          <t>RM002 烟酰胺</t>
        </is>
      </c>
      <c r="F17" s="13" t="n">
        <v>119.9999999999997</v>
      </c>
    </row>
    <row r="28">
      <c r="A28" t="inlineStr">
        <is>
          <t>品类</t>
        </is>
      </c>
      <c r="B28" t="inlineStr">
        <is>
          <t>采购金额</t>
        </is>
      </c>
      <c r="E28" t="inlineStr">
        <is>
          <t>月份</t>
        </is>
      </c>
      <c r="F28" t="inlineStr">
        <is>
          <t>采购金额</t>
        </is>
      </c>
      <c r="G28" t="inlineStr">
        <is>
          <t>跨物料加权平均单价</t>
        </is>
      </c>
    </row>
    <row r="29">
      <c r="A29" t="inlineStr">
        <is>
          <t>包材</t>
        </is>
      </c>
      <c r="B29" t="n">
        <v>114300</v>
      </c>
      <c r="E29" t="inlineStr">
        <is>
          <t>2025-07</t>
        </is>
      </c>
      <c r="F29" t="n">
        <v>1130</v>
      </c>
      <c r="G29" t="n">
        <v>0.0113</v>
      </c>
    </row>
    <row r="30">
      <c r="A30" t="inlineStr">
        <is>
          <t>成品</t>
        </is>
      </c>
      <c r="B30" t="n">
        <v>64000</v>
      </c>
      <c r="E30" t="inlineStr">
        <is>
          <t>2025-08</t>
        </is>
      </c>
      <c r="F30" t="n">
        <v>0</v>
      </c>
    </row>
    <row r="31">
      <c r="A31" t="inlineStr">
        <is>
          <t>原料</t>
        </is>
      </c>
      <c r="B31" t="n">
        <v>3521</v>
      </c>
      <c r="E31" t="inlineStr">
        <is>
          <t>2025-09</t>
        </is>
      </c>
      <c r="F31" t="n">
        <v>0</v>
      </c>
    </row>
    <row r="32">
      <c r="A32" t="inlineStr">
        <is>
          <t>其他</t>
        </is>
      </c>
      <c r="B32" t="n">
        <v>0</v>
      </c>
      <c r="E32" t="inlineStr">
        <is>
          <t>2025-10</t>
        </is>
      </c>
      <c r="F32" t="n">
        <v>880</v>
      </c>
      <c r="G32" t="n">
        <v>0.011</v>
      </c>
    </row>
    <row r="33">
      <c r="E33" t="inlineStr">
        <is>
          <t>2025-11</t>
        </is>
      </c>
      <c r="F33" t="n">
        <v>40000</v>
      </c>
      <c r="G33" t="n">
        <v>0.8</v>
      </c>
    </row>
    <row r="34">
      <c r="E34" t="inlineStr">
        <is>
          <t>2025-12</t>
        </is>
      </c>
      <c r="F34" t="n">
        <v>0</v>
      </c>
    </row>
    <row r="35">
      <c r="E35" t="inlineStr">
        <is>
          <t>2026-01</t>
        </is>
      </c>
      <c r="F35" t="n">
        <v>0</v>
      </c>
    </row>
    <row r="36">
      <c r="E36" t="inlineStr">
        <is>
          <t>2026-02</t>
        </is>
      </c>
      <c r="F36" t="n">
        <v>49200</v>
      </c>
      <c r="G36" t="n">
        <v>0.82</v>
      </c>
    </row>
    <row r="37">
      <c r="E37" t="inlineStr">
        <is>
          <t>2026-03</t>
        </is>
      </c>
      <c r="F37" t="n">
        <v>1296</v>
      </c>
      <c r="G37" t="n">
        <v>0.0108</v>
      </c>
    </row>
    <row r="38">
      <c r="E38" t="inlineStr">
        <is>
          <t>2026-04</t>
        </is>
      </c>
      <c r="F38" t="n">
        <v>1650</v>
      </c>
      <c r="G38" t="n">
        <v>0.033</v>
      </c>
    </row>
    <row r="39">
      <c r="E39" t="inlineStr">
        <is>
          <t>2026-05</t>
        </is>
      </c>
      <c r="F39" t="n">
        <v>3450</v>
      </c>
      <c r="G39" t="n">
        <v>0.0345</v>
      </c>
    </row>
    <row r="40">
      <c r="E40" t="inlineStr">
        <is>
          <t>2026-06</t>
        </is>
      </c>
      <c r="F40" t="n">
        <v>181821</v>
      </c>
      <c r="G40" t="n">
        <v>0.5771912002793562</v>
      </c>
    </row>
  </sheetData>
  <mergeCells count="18">
    <mergeCell ref="C9:D10"/>
    <mergeCell ref="A3:H3"/>
    <mergeCell ref="E6:F7"/>
    <mergeCell ref="C6:D7"/>
    <mergeCell ref="E9:F10"/>
    <mergeCell ref="G6:H7"/>
    <mergeCell ref="C5:D5"/>
    <mergeCell ref="A5:B5"/>
    <mergeCell ref="A6:B7"/>
    <mergeCell ref="E5:F5"/>
    <mergeCell ref="G5:H5"/>
    <mergeCell ref="G9:H10"/>
    <mergeCell ref="G8:H8"/>
    <mergeCell ref="A1:H2"/>
    <mergeCell ref="A8:B8"/>
    <mergeCell ref="A9:B10"/>
    <mergeCell ref="E8:F8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11" customWidth="1" min="13" max="13"/>
    <col width="11" customWidth="1" min="14" max="14"/>
    <col width="12" customWidth="1" min="15" max="15"/>
    <col width="11" customWidth="1" min="16" max="16"/>
    <col width="11" customWidth="1" min="17" max="17"/>
    <col width="11" customWidth="1" min="18" max="18"/>
    <col width="12" customWidth="1" min="19" max="19"/>
    <col width="18" customWidth="1" min="20" max="20"/>
    <col width="11" customWidth="1" min="21" max="21"/>
    <col width="11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物料类别</t>
        </is>
      </c>
      <c r="F1" s="14" t="inlineStr">
        <is>
          <t>标准规格</t>
        </is>
      </c>
      <c r="G1" s="14" t="inlineStr">
        <is>
          <t>计量单位</t>
        </is>
      </c>
      <c r="H1" s="14" t="inlineStr">
        <is>
          <t>标准单位</t>
        </is>
      </c>
      <c r="I1" s="14" t="inlineStr">
        <is>
          <t>采购数量</t>
        </is>
      </c>
      <c r="J1" s="14" t="inlineStr">
        <is>
          <t>标准数量</t>
        </is>
      </c>
      <c r="K1" s="14" t="inlineStr">
        <is>
          <t>含税单价</t>
        </is>
      </c>
      <c r="L1" s="14" t="inlineStr">
        <is>
          <t>未税单价</t>
        </is>
      </c>
      <c r="M1" s="14" t="inlineStr">
        <is>
          <t>税率</t>
        </is>
      </c>
      <c r="N1" s="14" t="inlineStr">
        <is>
          <t>含税金额</t>
        </is>
      </c>
      <c r="O1" s="14" t="inlineStr">
        <is>
          <t>供应商名称</t>
        </is>
      </c>
      <c r="P1" s="14" t="inlineStr">
        <is>
          <t>采购员</t>
        </is>
      </c>
      <c r="Q1" s="14" t="inlineStr">
        <is>
          <t>订单状态</t>
        </is>
      </c>
      <c r="R1" s="14" t="inlineStr">
        <is>
          <t>赠品或零价格</t>
        </is>
      </c>
      <c r="S1" s="14" t="inlineStr">
        <is>
          <t>可比状态</t>
        </is>
      </c>
      <c r="T1" s="14" t="inlineStr">
        <is>
          <t>_源文件</t>
        </is>
      </c>
      <c r="U1" s="14" t="inlineStr">
        <is>
          <t>_源工作表</t>
        </is>
      </c>
      <c r="V1" s="14" t="inlineStr">
        <is>
          <t>_源行号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原料</t>
        </is>
      </c>
      <c r="F2" t="inlineStr">
        <is>
          <t>食品级/25kg</t>
        </is>
      </c>
      <c r="G2" t="inlineStr">
        <is>
          <t>克</t>
        </is>
      </c>
      <c r="H2" t="inlineStr">
        <is>
          <t>克</t>
        </is>
      </c>
      <c r="I2" t="n">
        <v>120000</v>
      </c>
      <c r="J2" t="n">
        <v>120000</v>
      </c>
      <c r="K2" s="16" t="n">
        <v>0.01045</v>
      </c>
      <c r="L2" s="16" t="n">
        <v>0.009247787610619469</v>
      </c>
      <c r="M2" s="17" t="n">
        <v>0.13</v>
      </c>
      <c r="N2" s="16" t="n">
        <v>1254</v>
      </c>
      <c r="O2" t="inlineStr">
        <is>
          <t>广州清源原料有限公司</t>
        </is>
      </c>
      <c r="P2" t="inlineStr">
        <is>
          <t>李采购</t>
        </is>
      </c>
      <c r="Q2" t="inlineStr">
        <is>
          <t>已完成</t>
        </is>
      </c>
      <c r="R2" t="inlineStr">
        <is>
          <t>否</t>
        </is>
      </c>
      <c r="S2" t="inlineStr">
        <is>
          <t>可比</t>
        </is>
      </c>
      <c r="T2" t="inlineStr">
        <is>
          <t>演示数据_本期采购订单.xlsx</t>
        </is>
      </c>
      <c r="U2" t="inlineStr">
        <is>
          <t>采购订单</t>
        </is>
      </c>
      <c r="V2" t="n">
        <v>2</v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包材</t>
        </is>
      </c>
      <c r="F3" t="inlineStr">
        <is>
          <t>30ml/透明</t>
        </is>
      </c>
      <c r="G3" t="inlineStr">
        <is>
          <t>个</t>
        </is>
      </c>
      <c r="H3" t="inlineStr">
        <is>
          <t>个</t>
        </is>
      </c>
      <c r="I3" t="n">
        <v>100000</v>
      </c>
      <c r="J3" t="n">
        <v>100000</v>
      </c>
      <c r="K3" s="16" t="n">
        <v>0.9</v>
      </c>
      <c r="L3" s="16" t="n">
        <v>0.7964601769911506</v>
      </c>
      <c r="M3" s="17" t="n">
        <v>0.13</v>
      </c>
      <c r="N3" s="16" t="n">
        <v>90000</v>
      </c>
      <c r="O3" t="inlineStr">
        <is>
          <t>粤美包材有限公司</t>
        </is>
      </c>
      <c r="P3" t="inlineStr">
        <is>
          <t>王采购</t>
        </is>
      </c>
      <c r="Q3" t="inlineStr">
        <is>
          <t>已完成</t>
        </is>
      </c>
      <c r="R3" t="inlineStr">
        <is>
          <t>否</t>
        </is>
      </c>
      <c r="S3" t="inlineStr">
        <is>
          <t>可比</t>
        </is>
      </c>
      <c r="T3" t="inlineStr">
        <is>
          <t>演示数据_本期采购订单.xlsx</t>
        </is>
      </c>
      <c r="U3" t="inlineStr">
        <is>
          <t>采购订单</t>
        </is>
      </c>
      <c r="V3" t="n">
        <v>3</v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包材</t>
        </is>
      </c>
      <c r="F4" t="inlineStr">
        <is>
          <t>30ml/透明</t>
        </is>
      </c>
      <c r="G4" t="inlineStr">
        <is>
          <t>个</t>
        </is>
      </c>
      <c r="H4" t="inlineStr">
        <is>
          <t>个</t>
        </is>
      </c>
      <c r="I4" t="n">
        <v>30000</v>
      </c>
      <c r="J4" t="n">
        <v>30000</v>
      </c>
      <c r="K4" s="16" t="n">
        <v>0.8100000000000001</v>
      </c>
      <c r="L4" s="16" t="n">
        <v>0.7168141592920355</v>
      </c>
      <c r="M4" s="17" t="n">
        <v>0.13</v>
      </c>
      <c r="N4" s="16" t="n">
        <v>24300</v>
      </c>
      <c r="O4" t="inlineStr">
        <is>
          <t>华彩包装有限公司</t>
        </is>
      </c>
      <c r="P4" t="inlineStr">
        <is>
          <t>王采购</t>
        </is>
      </c>
      <c r="Q4" t="inlineStr">
        <is>
          <t>已完成</t>
        </is>
      </c>
      <c r="R4" t="inlineStr">
        <is>
          <t>否</t>
        </is>
      </c>
      <c r="S4" t="inlineStr">
        <is>
          <t>可比</t>
        </is>
      </c>
      <c r="T4" t="inlineStr">
        <is>
          <t>演示数据_本期采购订单.xlsx</t>
        </is>
      </c>
      <c r="U4" t="inlineStr">
        <is>
          <t>采购订单</t>
        </is>
      </c>
      <c r="V4" t="n">
        <v>4</v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原料</t>
        </is>
      </c>
      <c r="F5" t="inlineStr">
        <is>
          <t>化妆品级/25kg</t>
        </is>
      </c>
      <c r="G5" t="inlineStr">
        <is>
          <t>千克</t>
        </is>
      </c>
      <c r="H5" t="inlineStr">
        <is>
          <t>克</t>
        </is>
      </c>
      <c r="I5" t="n">
        <v>60</v>
      </c>
      <c r="J5" t="n">
        <v>60000</v>
      </c>
      <c r="K5" s="16" t="n">
        <v>36</v>
      </c>
      <c r="L5" s="16" t="n">
        <v>31.85840707964602</v>
      </c>
      <c r="M5" s="17" t="n">
        <v>0.13</v>
      </c>
      <c r="N5" s="16" t="n">
        <v>2160</v>
      </c>
      <c r="O5" t="inlineStr">
        <is>
          <t>维研原料有限公司</t>
        </is>
      </c>
      <c r="P5" t="inlineStr">
        <is>
          <t>李采购</t>
        </is>
      </c>
      <c r="Q5" t="inlineStr">
        <is>
          <t>已完成</t>
        </is>
      </c>
      <c r="R5" t="inlineStr">
        <is>
          <t>否</t>
        </is>
      </c>
      <c r="S5" t="inlineStr">
        <is>
          <t>可比</t>
        </is>
      </c>
      <c r="T5" t="inlineStr">
        <is>
          <t>演示数据_本期采购订单.xlsx</t>
        </is>
      </c>
      <c r="U5" t="inlineStr">
        <is>
          <t>采购订单</t>
        </is>
      </c>
      <c r="V5" t="n">
        <v>5</v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成品</t>
        </is>
      </c>
      <c r="F6" t="inlineStr">
        <is>
          <t>25ml×5片</t>
        </is>
      </c>
      <c r="G6" t="inlineStr">
        <is>
          <t>盒</t>
        </is>
      </c>
      <c r="H6" t="inlineStr">
        <is>
          <t>盒</t>
        </is>
      </c>
      <c r="I6" t="n">
        <v>5000</v>
      </c>
      <c r="J6" t="n">
        <v>5000</v>
      </c>
      <c r="K6" s="16" t="n">
        <v>12.8</v>
      </c>
      <c r="L6" s="16" t="n">
        <v>11.32743362831859</v>
      </c>
      <c r="M6" s="17" t="n">
        <v>0.13</v>
      </c>
      <c r="N6" s="16" t="n">
        <v>64000</v>
      </c>
      <c r="O6" t="inlineStr">
        <is>
          <t>示范OEM工厂</t>
        </is>
      </c>
      <c r="P6" t="inlineStr">
        <is>
          <t>赵采购</t>
        </is>
      </c>
      <c r="Q6" t="inlineStr">
        <is>
          <t>已完成</t>
        </is>
      </c>
      <c r="R6" t="inlineStr">
        <is>
          <t>否</t>
        </is>
      </c>
      <c r="S6" t="inlineStr">
        <is>
          <t>可比</t>
        </is>
      </c>
      <c r="T6" t="inlineStr">
        <is>
          <t>演示数据_本期采购订单.xlsx</t>
        </is>
      </c>
      <c r="U6" t="inlineStr">
        <is>
          <t>采购订单</t>
        </is>
      </c>
      <c r="V6" t="n">
        <v>6</v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原料</t>
        </is>
      </c>
      <c r="F7" t="inlineStr">
        <is>
          <t>食品级/25kg</t>
        </is>
      </c>
      <c r="G7" t="inlineStr">
        <is>
          <t>千克</t>
        </is>
      </c>
      <c r="H7" t="inlineStr">
        <is>
          <t>千克</t>
        </is>
      </c>
      <c r="I7" t="n">
        <v>10</v>
      </c>
      <c r="J7" t="n">
        <v>10</v>
      </c>
      <c r="K7" s="16" t="n">
        <v>10.7</v>
      </c>
      <c r="L7" s="16" t="n">
        <v>9.469026548672566</v>
      </c>
      <c r="M7" s="17" t="n">
        <v>0.13</v>
      </c>
      <c r="N7" s="16" t="n">
        <v>107</v>
      </c>
      <c r="O7" t="inlineStr">
        <is>
          <t>上海原素科技有限公司</t>
        </is>
      </c>
      <c r="P7" t="inlineStr">
        <is>
          <t>李采购</t>
        </is>
      </c>
      <c r="Q7" t="inlineStr">
        <is>
          <t>已完成</t>
        </is>
      </c>
      <c r="R7" t="inlineStr">
        <is>
          <t>否</t>
        </is>
      </c>
      <c r="S7" t="inlineStr">
        <is>
          <t>可比</t>
        </is>
      </c>
      <c r="T7" t="inlineStr">
        <is>
          <t>演示数据_本期采购订单.xlsx</t>
        </is>
      </c>
      <c r="U7" t="inlineStr">
        <is>
          <t>采购订单</t>
        </is>
      </c>
      <c r="V7" t="n">
        <v>7</v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其他</t>
        </is>
      </c>
      <c r="F8" t="inlineStr">
        <is>
          <t>A4/50张</t>
        </is>
      </c>
      <c r="G8" t="inlineStr">
        <is>
          <t>箱</t>
        </is>
      </c>
      <c r="H8" t="inlineStr">
        <is>
          <t>包</t>
        </is>
      </c>
      <c r="I8" t="n">
        <v>2</v>
      </c>
      <c r="K8" s="16" t="n">
        <v>0</v>
      </c>
      <c r="L8" s="16" t="n">
        <v>0</v>
      </c>
      <c r="M8" s="17" t="n">
        <v>0.13</v>
      </c>
      <c r="N8" s="16" t="n">
        <v>0</v>
      </c>
      <c r="O8" t="inlineStr">
        <is>
          <t>示范文具有限公司</t>
        </is>
      </c>
      <c r="P8" t="inlineStr">
        <is>
          <t>赵采购</t>
        </is>
      </c>
      <c r="Q8" t="inlineStr">
        <is>
          <t>赠品</t>
        </is>
      </c>
      <c r="R8" t="inlineStr">
        <is>
          <t>是</t>
        </is>
      </c>
      <c r="S8" t="inlineStr">
        <is>
          <t>不可比-缺少单位换算</t>
        </is>
      </c>
      <c r="T8" t="inlineStr">
        <is>
          <t>演示数据_本期采购订单.xlsx</t>
        </is>
      </c>
      <c r="U8" t="inlineStr">
        <is>
          <t>采购订单</t>
        </is>
      </c>
      <c r="V8" t="n">
        <v>8</v>
      </c>
    </row>
  </sheetData>
  <autoFilter ref="A1:V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20" customWidth="1" min="10" max="10"/>
    <col width="11" customWidth="1" min="11" max="11"/>
    <col width="2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标准规格</t>
        </is>
      </c>
      <c r="F1" s="14" t="inlineStr">
        <is>
          <t>标准单位</t>
        </is>
      </c>
      <c r="G1" s="14" t="inlineStr">
        <is>
          <t>供应商名称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近12个月最低价</t>
        </is>
      </c>
      <c r="L1" s="14" t="inlineStr">
        <is>
          <t>近12个月最高价</t>
        </is>
      </c>
      <c r="M1" s="14" t="inlineStr">
        <is>
          <t>历史有效记录数</t>
        </is>
      </c>
      <c r="N1" s="14" t="inlineStr">
        <is>
          <t>首次采购</t>
        </is>
      </c>
      <c r="O1" s="14" t="inlineStr">
        <is>
          <t>规格变化</t>
        </is>
      </c>
      <c r="P1" s="14" t="inlineStr">
        <is>
          <t>单位变化</t>
        </is>
      </c>
      <c r="Q1" s="14" t="inlineStr">
        <is>
          <t>可比状态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食品级/25kg</t>
        </is>
      </c>
      <c r="F2" t="inlineStr">
        <is>
          <t>克</t>
        </is>
      </c>
      <c r="G2" t="inlineStr">
        <is>
          <t>广州清源原料有限公司</t>
        </is>
      </c>
      <c r="H2" s="16" t="n">
        <v>0.01045</v>
      </c>
      <c r="I2" s="16" t="n">
        <v>0.0108</v>
      </c>
      <c r="J2" s="16" t="n">
        <v>0.01102</v>
      </c>
      <c r="K2" s="16" t="n">
        <v>0.0108</v>
      </c>
      <c r="L2" s="16" t="n">
        <v>0.0113</v>
      </c>
      <c r="M2" t="n">
        <v>3</v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可比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30ml/透明</t>
        </is>
      </c>
      <c r="F3" t="inlineStr">
        <is>
          <t>个</t>
        </is>
      </c>
      <c r="G3" t="inlineStr">
        <is>
          <t>粤美包材有限公司</t>
        </is>
      </c>
      <c r="H3" s="16" t="n">
        <v>0.9</v>
      </c>
      <c r="I3" s="16" t="n">
        <v>0.82</v>
      </c>
      <c r="J3" s="16" t="n">
        <v>0.8109090909090909</v>
      </c>
      <c r="K3" s="16" t="n">
        <v>0.8</v>
      </c>
      <c r="L3" s="16" t="n">
        <v>0.82</v>
      </c>
      <c r="M3" t="n">
        <v>2</v>
      </c>
      <c r="N3" t="inlineStr">
        <is>
          <t>否</t>
        </is>
      </c>
      <c r="O3" t="inlineStr">
        <is>
          <t>否</t>
        </is>
      </c>
      <c r="P3" t="inlineStr">
        <is>
          <t>否</t>
        </is>
      </c>
      <c r="Q3" t="inlineStr">
        <is>
          <t>可比</t>
        </is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30ml/透明</t>
        </is>
      </c>
      <c r="F4" t="inlineStr">
        <is>
          <t>个</t>
        </is>
      </c>
      <c r="G4" t="inlineStr">
        <is>
          <t>华彩包装有限公司</t>
        </is>
      </c>
      <c r="H4" s="16" t="n">
        <v>0.8100000000000001</v>
      </c>
      <c r="I4" s="16" t="n">
        <v>0.9</v>
      </c>
      <c r="J4" s="16" t="n">
        <v>0.8533333333333334</v>
      </c>
      <c r="K4" s="16" t="n">
        <v>0.8</v>
      </c>
      <c r="L4" s="16" t="n">
        <v>0.9</v>
      </c>
      <c r="M4" t="n">
        <v>3</v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可比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化妆品级/25kg</t>
        </is>
      </c>
      <c r="F5" t="inlineStr">
        <is>
          <t>克</t>
        </is>
      </c>
      <c r="G5" t="inlineStr">
        <is>
          <t>维研原料有限公司</t>
        </is>
      </c>
      <c r="H5" s="16" t="n">
        <v>0.036</v>
      </c>
      <c r="I5" s="16" t="n">
        <v>0.035</v>
      </c>
      <c r="J5" s="16" t="n">
        <v>0.034</v>
      </c>
      <c r="K5" s="16" t="n">
        <v>0.033</v>
      </c>
      <c r="L5" s="16" t="n">
        <v>0.035</v>
      </c>
      <c r="M5" t="n">
        <v>3</v>
      </c>
      <c r="N5" t="inlineStr">
        <is>
          <t>否</t>
        </is>
      </c>
      <c r="O5" t="inlineStr">
        <is>
          <t>否</t>
        </is>
      </c>
      <c r="P5" t="inlineStr">
        <is>
          <t>否</t>
        </is>
      </c>
      <c r="Q5" t="inlineStr">
        <is>
          <t>可比</t>
        </is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25ml×5片</t>
        </is>
      </c>
      <c r="F6" t="inlineStr">
        <is>
          <t>盒</t>
        </is>
      </c>
      <c r="G6" t="inlineStr">
        <is>
          <t>示范OEM工厂</t>
        </is>
      </c>
      <c r="H6" s="16" t="n">
        <v>12.8</v>
      </c>
      <c r="I6" s="16" t="n"/>
      <c r="J6" s="16" t="n"/>
      <c r="K6" s="16" t="n"/>
      <c r="L6" s="16" t="n"/>
      <c r="M6" t="n">
        <v>0</v>
      </c>
      <c r="N6" t="inlineStr">
        <is>
          <t>是</t>
        </is>
      </c>
      <c r="O6" t="inlineStr">
        <is>
          <t>否</t>
        </is>
      </c>
      <c r="P6" t="inlineStr">
        <is>
          <t>否</t>
        </is>
      </c>
      <c r="Q6" t="inlineStr">
        <is>
          <t>可比</t>
        </is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食品级/25kg</t>
        </is>
      </c>
      <c r="F7" t="inlineStr">
        <is>
          <t>千克</t>
        </is>
      </c>
      <c r="G7" t="inlineStr">
        <is>
          <t>上海原素科技有限公司</t>
        </is>
      </c>
      <c r="H7" s="16" t="n">
        <v>10.7</v>
      </c>
      <c r="I7" s="16" t="n"/>
      <c r="J7" s="16" t="n"/>
      <c r="K7" s="16" t="n"/>
      <c r="L7" s="16" t="n"/>
      <c r="M7" t="n">
        <v>0</v>
      </c>
      <c r="N7" t="inlineStr">
        <is>
          <t>否</t>
        </is>
      </c>
      <c r="O7" t="inlineStr">
        <is>
          <t>否</t>
        </is>
      </c>
      <c r="P7" t="inlineStr">
        <is>
          <t>否</t>
        </is>
      </c>
      <c r="Q7" t="inlineStr">
        <is>
          <t>可比</t>
        </is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A4/50张</t>
        </is>
      </c>
      <c r="F8" t="inlineStr">
        <is>
          <t>包</t>
        </is>
      </c>
      <c r="G8" t="inlineStr">
        <is>
          <t>示范文具有限公司</t>
        </is>
      </c>
      <c r="H8" s="16" t="n"/>
      <c r="I8" s="16" t="n"/>
      <c r="J8" s="16" t="n"/>
      <c r="K8" s="16" t="n"/>
      <c r="L8" s="16" t="n"/>
      <c r="M8" t="n">
        <v>0</v>
      </c>
      <c r="N8" t="inlineStr">
        <is>
          <t>不适用</t>
        </is>
      </c>
      <c r="O8" t="inlineStr">
        <is>
          <t>否</t>
        </is>
      </c>
      <c r="P8" t="inlineStr">
        <is>
          <t>否</t>
        </is>
      </c>
      <c r="Q8" t="inlineStr">
        <is>
          <t>不可比-缺少单位换算</t>
        </is>
      </c>
    </row>
  </sheetData>
  <autoFilter ref="A1:Q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标准单位</t>
        </is>
      </c>
      <c r="G1" s="14" t="inlineStr">
        <is>
          <t>标准数量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初始报价</t>
        </is>
      </c>
      <c r="L1" s="14" t="inlineStr">
        <is>
          <t>最终批准报价</t>
        </is>
      </c>
      <c r="M1" s="14" t="inlineStr">
        <is>
          <t>环比节约金额</t>
        </is>
      </c>
      <c r="N1" s="14" t="inlineStr">
        <is>
          <t>历史基准节约金额</t>
        </is>
      </c>
      <c r="O1" s="14" t="inlineStr">
        <is>
          <t>议价节约金额</t>
        </is>
      </c>
      <c r="P1" s="14" t="inlineStr">
        <is>
          <t>节约率</t>
        </is>
      </c>
      <c r="Q1" s="14" t="inlineStr">
        <is>
          <t>人工确认状态</t>
        </is>
      </c>
      <c r="R1" s="14" t="inlineStr">
        <is>
          <t>正式汇总节约金额</t>
        </is>
      </c>
      <c r="S1" s="11" t="inlineStr">
        <is>
          <t>复核_环比节约金额</t>
        </is>
      </c>
      <c r="T1" s="11" t="inlineStr">
        <is>
          <t>复核_历史基准节约金额</t>
        </is>
      </c>
      <c r="U1" s="11" t="inlineStr">
        <is>
          <t>复核_涨价影响金额</t>
        </is>
      </c>
      <c r="V1" s="11" t="inlineStr">
        <is>
          <t>复核_正式汇总节约金额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16" t="n">
        <v>0.01045</v>
      </c>
      <c r="I2" s="16" t="n">
        <v>0.0108</v>
      </c>
      <c r="J2" s="16" t="n">
        <v>0.01102</v>
      </c>
      <c r="K2" s="16" t="n">
        <v>0.0112</v>
      </c>
      <c r="L2" s="16" t="n">
        <v>0.0105</v>
      </c>
      <c r="M2" s="16" t="n">
        <v>42.00000000000016</v>
      </c>
      <c r="N2" s="16" t="n">
        <v>68.40000000000013</v>
      </c>
      <c r="O2" s="16" t="n">
        <v>90.00000000000009</v>
      </c>
      <c r="P2" s="17" t="n">
        <v>0.05172413793103458</v>
      </c>
      <c r="Q2" t="inlineStr">
        <is>
          <t>待确认</t>
        </is>
      </c>
      <c r="R2" s="16" t="n">
        <v>0</v>
      </c>
      <c r="S2" s="16">
        <f>IF(OR(I2="",H2="",G2=""),"",(I2-H2)*G2)</f>
        <v/>
      </c>
      <c r="T2" s="16">
        <f>IF(OR(J2="",H2="",G2=""),"",(J2-H2)*G2)</f>
        <v/>
      </c>
      <c r="U2" s="16">
        <f>IF(OR(J2="",H2="",G2=""),"",MAX((H2-J2)*G2,0))</f>
        <v/>
      </c>
      <c r="V2" s="16">
        <f>IF(Q2="已确认",MAX(T2,0),0)</f>
        <v/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16" t="n">
        <v>0.9</v>
      </c>
      <c r="I3" s="16" t="n">
        <v>0.82</v>
      </c>
      <c r="J3" s="16" t="n">
        <v>0.8109090909090909</v>
      </c>
      <c r="K3" s="16" t="n">
        <v>0.88</v>
      </c>
      <c r="L3" s="16" t="n">
        <v>0.85</v>
      </c>
      <c r="M3" s="16" t="n">
        <v>-8000.000000000007</v>
      </c>
      <c r="N3" s="16" t="n">
        <v>-8909.090909090912</v>
      </c>
      <c r="O3" s="16" t="n">
        <v>-2000.000000000002</v>
      </c>
      <c r="P3" s="17" t="n">
        <v>-0.109865470852018</v>
      </c>
      <c r="Q3" t="inlineStr">
        <is>
          <t>待确认</t>
        </is>
      </c>
      <c r="R3" s="16" t="n">
        <v>0</v>
      </c>
      <c r="S3" s="16">
        <f>IF(OR(I3="",H3="",G3=""),"",(I3-H3)*G3)</f>
        <v/>
      </c>
      <c r="T3" s="16">
        <f>IF(OR(J3="",H3="",G3=""),"",(J3-H3)*G3)</f>
        <v/>
      </c>
      <c r="U3" s="16">
        <f>IF(OR(J3="",H3="",G3=""),"",MAX((H3-J3)*G3,0))</f>
        <v/>
      </c>
      <c r="V3" s="16">
        <f>IF(Q3="已确认",MAX(T3,0),0)</f>
        <v/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16" t="n">
        <v>0.8100000000000001</v>
      </c>
      <c r="I4" s="16" t="n">
        <v>0.9</v>
      </c>
      <c r="J4" s="16" t="n">
        <v>0.8533333333333334</v>
      </c>
      <c r="K4" s="16" t="n">
        <v>0.86</v>
      </c>
      <c r="L4" s="16" t="n">
        <v>0.8100000000000001</v>
      </c>
      <c r="M4" s="16" t="n">
        <v>2699.999999999999</v>
      </c>
      <c r="N4" s="16" t="n">
        <v>1300</v>
      </c>
      <c r="O4" s="16" t="n">
        <v>1499.999999999998</v>
      </c>
      <c r="P4" s="17" t="n">
        <v>0.05078125</v>
      </c>
      <c r="Q4" t="inlineStr">
        <is>
          <t>待确认</t>
        </is>
      </c>
      <c r="R4" s="16" t="n">
        <v>0</v>
      </c>
      <c r="S4" s="16">
        <f>IF(OR(I4="",H4="",G4=""),"",(I4-H4)*G4)</f>
        <v/>
      </c>
      <c r="T4" s="16">
        <f>IF(OR(J4="",H4="",G4=""),"",(J4-H4)*G4)</f>
        <v/>
      </c>
      <c r="U4" s="16">
        <f>IF(OR(J4="",H4="",G4=""),"",MAX((H4-J4)*G4,0))</f>
        <v/>
      </c>
      <c r="V4" s="16">
        <f>IF(Q4="已确认",MAX(T4,0),0)</f>
        <v/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16" t="n">
        <v>0.036</v>
      </c>
      <c r="I5" s="16" t="n">
        <v>0.035</v>
      </c>
      <c r="J5" s="16" t="n">
        <v>0.034</v>
      </c>
      <c r="K5" s="16" t="n">
        <v>37</v>
      </c>
      <c r="L5" s="16" t="n">
        <v>35.5</v>
      </c>
      <c r="M5" s="16" t="n">
        <v>-59.99999999999964</v>
      </c>
      <c r="N5" s="16" t="n">
        <v>-119.9999999999997</v>
      </c>
      <c r="O5" s="16" t="n">
        <v>60.00000000000006</v>
      </c>
      <c r="P5" s="17" t="n">
        <v>-0.05882352941176455</v>
      </c>
      <c r="Q5" t="inlineStr">
        <is>
          <t>待确认</t>
        </is>
      </c>
      <c r="R5" s="16" t="n">
        <v>0</v>
      </c>
      <c r="S5" s="16">
        <f>IF(OR(I5="",H5="",G5=""),"",(I5-H5)*G5)</f>
        <v/>
      </c>
      <c r="T5" s="16">
        <f>IF(OR(J5="",H5="",G5=""),"",(J5-H5)*G5)</f>
        <v/>
      </c>
      <c r="U5" s="16">
        <f>IF(OR(J5="",H5="",G5=""),"",MAX((H5-J5)*G5,0))</f>
        <v/>
      </c>
      <c r="V5" s="16">
        <f>IF(Q5="已确认",MAX(T5,0),0)</f>
        <v/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G6" t="n">
        <v>5000</v>
      </c>
      <c r="H6" s="16" t="n">
        <v>12.8</v>
      </c>
      <c r="I6" s="16" t="n"/>
      <c r="J6" s="16" t="n"/>
      <c r="K6" s="16" t="n">
        <v>13.5</v>
      </c>
      <c r="L6" s="16" t="n">
        <v>12.8</v>
      </c>
      <c r="M6" s="16" t="n"/>
      <c r="N6" s="16" t="n"/>
      <c r="O6" s="16" t="n">
        <v>3499.999999999996</v>
      </c>
      <c r="P6" s="17" t="n"/>
      <c r="Q6" t="inlineStr">
        <is>
          <t>待确认</t>
        </is>
      </c>
      <c r="R6" s="16" t="n">
        <v>0</v>
      </c>
      <c r="S6" s="16">
        <f>IF(OR(I6="",H6="",G6=""),"",(I6-H6)*G6)</f>
        <v/>
      </c>
      <c r="T6" s="16">
        <f>IF(OR(J6="",H6="",G6=""),"",(J6-H6)*G6)</f>
        <v/>
      </c>
      <c r="U6" s="16">
        <f>IF(OR(J6="",H6="",G6=""),"",MAX((H6-J6)*G6,0))</f>
        <v/>
      </c>
      <c r="V6" s="16">
        <f>IF(Q6="已确认",MAX(T6,0),0)</f>
        <v/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G7" t="n">
        <v>10</v>
      </c>
      <c r="H7" s="16" t="n">
        <v>10.7</v>
      </c>
      <c r="I7" s="16" t="n"/>
      <c r="J7" s="16" t="n"/>
      <c r="K7" s="16" t="n"/>
      <c r="L7" s="16" t="n"/>
      <c r="M7" s="16" t="n"/>
      <c r="N7" s="16" t="n"/>
      <c r="O7" s="16" t="n"/>
      <c r="P7" s="17" t="n"/>
      <c r="Q7" t="inlineStr">
        <is>
          <t>待确认</t>
        </is>
      </c>
      <c r="R7" s="16" t="n">
        <v>0</v>
      </c>
      <c r="S7" s="16">
        <f>IF(OR(I7="",H7="",G7=""),"",(I7-H7)*G7)</f>
        <v/>
      </c>
      <c r="T7" s="16">
        <f>IF(OR(J7="",H7="",G7=""),"",(J7-H7)*G7)</f>
        <v/>
      </c>
      <c r="U7" s="16">
        <f>IF(OR(J7="",H7="",G7=""),"",MAX((H7-J7)*G7,0))</f>
        <v/>
      </c>
      <c r="V7" s="16">
        <f>IF(Q7="已确认",MAX(T7,0),0)</f>
        <v/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16" t="n"/>
      <c r="I8" s="16" t="n"/>
      <c r="J8" s="16" t="n"/>
      <c r="K8" s="16" t="n"/>
      <c r="L8" s="16" t="n"/>
      <c r="M8" s="16" t="n"/>
      <c r="N8" s="16" t="n"/>
      <c r="O8" s="16" t="n"/>
      <c r="P8" s="17" t="n"/>
      <c r="Q8" t="inlineStr">
        <is>
          <t>待确认</t>
        </is>
      </c>
      <c r="R8" s="16" t="n">
        <v>0</v>
      </c>
      <c r="S8" s="16">
        <f>IF(OR(I8="",H8="",G8=""),"",(I8-H8)*G8)</f>
        <v/>
      </c>
      <c r="T8" s="16">
        <f>IF(OR(J8="",H8="",G8=""),"",(J8-H8)*G8)</f>
        <v/>
      </c>
      <c r="U8" s="16">
        <f>IF(OR(J8="",H8="",G8=""),"",MAX((H8-J8)*G8,0))</f>
        <v/>
      </c>
      <c r="V8" s="16">
        <f>IF(Q8="已确认",MAX(T8,0),0)</f>
        <v/>
      </c>
    </row>
  </sheetData>
  <autoFilter ref="A1:V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20" customWidth="1" min="9" max="9"/>
    <col width="11" customWidth="1" min="10" max="10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标准数量</t>
        </is>
      </c>
      <c r="G1" s="14" t="inlineStr">
        <is>
          <t>标准比较单价</t>
        </is>
      </c>
      <c r="H1" s="14" t="inlineStr">
        <is>
          <t>近12个月加权平均价</t>
        </is>
      </c>
      <c r="I1" s="14" t="inlineStr">
        <is>
          <t>涨价影响金额</t>
        </is>
      </c>
      <c r="J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n">
        <v>100000</v>
      </c>
      <c r="G2" s="16" t="n">
        <v>0.9</v>
      </c>
      <c r="H2" s="16" t="n">
        <v>0.8109090909090909</v>
      </c>
      <c r="I2" s="16" t="n">
        <v>8909.090909090912</v>
      </c>
      <c r="J2" t="inlineStr">
        <is>
          <t>待确认</t>
        </is>
      </c>
    </row>
    <row r="3">
      <c r="A3" t="inlineStr">
        <is>
          <t>C260604</t>
        </is>
      </c>
      <c r="B3" s="15" t="n">
        <v>46188</v>
      </c>
      <c r="C3" t="inlineStr">
        <is>
          <t>RM002</t>
        </is>
      </c>
      <c r="D3" t="inlineStr">
        <is>
          <t>烟酰胺</t>
        </is>
      </c>
      <c r="E3" t="inlineStr">
        <is>
          <t>维研原料有限公司</t>
        </is>
      </c>
      <c r="F3" t="n">
        <v>60000</v>
      </c>
      <c r="G3" s="16" t="n">
        <v>0.036</v>
      </c>
      <c r="H3" s="16" t="n">
        <v>0.034</v>
      </c>
      <c r="I3" s="16" t="n">
        <v>119.9999999999997</v>
      </c>
      <c r="J3" t="inlineStr">
        <is>
          <t>待确认</t>
        </is>
      </c>
    </row>
  </sheetData>
  <autoFilter ref="A1:J3"/>
  <conditionalFormatting sqref="I2:I3">
    <cfRule type="cellIs" priority="1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2" customWidth="1" min="6" max="6"/>
  </cols>
  <sheetData>
    <row r="1" ht="30" customHeight="1">
      <c r="A1" s="14" t="inlineStr">
        <is>
          <t>物料类别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采购数量</t>
        </is>
      </c>
      <c r="F1" s="14" t="inlineStr">
        <is>
          <t>金额占比</t>
        </is>
      </c>
    </row>
    <row r="2">
      <c r="A2" t="inlineStr">
        <is>
          <t>其他</t>
        </is>
      </c>
      <c r="B2" s="16" t="n">
        <v>0</v>
      </c>
      <c r="C2" t="n">
        <v>1</v>
      </c>
      <c r="D2" t="n">
        <v>1</v>
      </c>
      <c r="E2" t="n">
        <v>0</v>
      </c>
      <c r="F2" s="17" t="n">
        <v>0</v>
      </c>
    </row>
    <row r="3">
      <c r="A3" t="inlineStr">
        <is>
          <t>包材</t>
        </is>
      </c>
      <c r="B3" s="16" t="n">
        <v>114300</v>
      </c>
      <c r="C3" t="n">
        <v>2</v>
      </c>
      <c r="D3" t="n">
        <v>1</v>
      </c>
      <c r="E3" t="n">
        <v>130000</v>
      </c>
      <c r="F3" s="17" t="n">
        <v>0.6286402560760308</v>
      </c>
    </row>
    <row r="4">
      <c r="A4" t="inlineStr">
        <is>
          <t>原料</t>
        </is>
      </c>
      <c r="B4" s="16" t="n">
        <v>3521</v>
      </c>
      <c r="C4" t="n">
        <v>3</v>
      </c>
      <c r="D4" t="n">
        <v>2</v>
      </c>
      <c r="E4" t="n">
        <v>180010</v>
      </c>
      <c r="F4" s="17" t="n">
        <v>0.01936519983940249</v>
      </c>
    </row>
    <row r="5">
      <c r="A5" t="inlineStr">
        <is>
          <t>成品</t>
        </is>
      </c>
      <c r="B5" s="16" t="n">
        <v>64000</v>
      </c>
      <c r="C5" t="n">
        <v>1</v>
      </c>
      <c r="D5" t="n">
        <v>1</v>
      </c>
      <c r="E5" t="n">
        <v>5000</v>
      </c>
      <c r="F5" s="17" t="n">
        <v>0.3519945440845667</v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21" customWidth="1" min="5" max="5"/>
    <col width="20" customWidth="1" min="6" max="6"/>
  </cols>
  <sheetData>
    <row r="1" ht="30" customHeight="1">
      <c r="A1" s="14" t="inlineStr">
        <is>
          <t>供应商名称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历史基准节约金额</t>
        </is>
      </c>
      <c r="F1" s="14" t="inlineStr">
        <is>
          <t>涨价影响金额</t>
        </is>
      </c>
    </row>
    <row r="2">
      <c r="A2" t="inlineStr">
        <is>
          <t>粤美包材有限公司</t>
        </is>
      </c>
      <c r="B2" s="16" t="n">
        <v>90000</v>
      </c>
      <c r="C2" t="n">
        <v>1</v>
      </c>
      <c r="D2" t="n">
        <v>1</v>
      </c>
      <c r="E2" s="16" t="n">
        <v>-8909.090909090912</v>
      </c>
      <c r="F2" s="16" t="n">
        <v>8909.090909090912</v>
      </c>
    </row>
    <row r="3">
      <c r="A3" t="inlineStr">
        <is>
          <t>示范OEM工厂</t>
        </is>
      </c>
      <c r="B3" s="16" t="n">
        <v>64000</v>
      </c>
      <c r="C3" t="n">
        <v>1</v>
      </c>
      <c r="D3" t="n">
        <v>1</v>
      </c>
      <c r="E3" s="16" t="n">
        <v>0</v>
      </c>
      <c r="F3" s="16" t="n">
        <v>0</v>
      </c>
    </row>
    <row r="4">
      <c r="A4" t="inlineStr">
        <is>
          <t>华彩包装有限公司</t>
        </is>
      </c>
      <c r="B4" s="16" t="n">
        <v>24300</v>
      </c>
      <c r="C4" t="n">
        <v>1</v>
      </c>
      <c r="D4" t="n">
        <v>1</v>
      </c>
      <c r="E4" s="16" t="n">
        <v>1300</v>
      </c>
      <c r="F4" s="16" t="n">
        <v>0</v>
      </c>
    </row>
    <row r="5">
      <c r="A5" t="inlineStr">
        <is>
          <t>维研原料有限公司</t>
        </is>
      </c>
      <c r="B5" s="16" t="n">
        <v>2160</v>
      </c>
      <c r="C5" t="n">
        <v>1</v>
      </c>
      <c r="D5" t="n">
        <v>1</v>
      </c>
      <c r="E5" s="16" t="n">
        <v>-119.9999999999997</v>
      </c>
      <c r="F5" s="16" t="n">
        <v>119.9999999999997</v>
      </c>
    </row>
    <row r="6">
      <c r="A6" t="inlineStr">
        <is>
          <t>广州清源原料有限公司</t>
        </is>
      </c>
      <c r="B6" s="16" t="n">
        <v>1254</v>
      </c>
      <c r="C6" t="n">
        <v>1</v>
      </c>
      <c r="D6" t="n">
        <v>1</v>
      </c>
      <c r="E6" s="16" t="n">
        <v>68.40000000000013</v>
      </c>
      <c r="F6" s="16" t="n">
        <v>0</v>
      </c>
    </row>
    <row r="7">
      <c r="A7" t="inlineStr">
        <is>
          <t>上海原素科技有限公司</t>
        </is>
      </c>
      <c r="B7" s="16" t="n">
        <v>107</v>
      </c>
      <c r="C7" t="n">
        <v>1</v>
      </c>
      <c r="D7" t="n">
        <v>0</v>
      </c>
      <c r="E7" s="16" t="n">
        <v>0</v>
      </c>
      <c r="F7" s="16" t="n">
        <v>0</v>
      </c>
    </row>
    <row r="8">
      <c r="A8" t="inlineStr">
        <is>
          <t>示范文具有限公司</t>
        </is>
      </c>
      <c r="B8" s="16" t="n">
        <v>0</v>
      </c>
      <c r="C8" t="n">
        <v>1</v>
      </c>
      <c r="D8" t="n">
        <v>1</v>
      </c>
      <c r="E8" s="16" t="n">
        <v>0</v>
      </c>
      <c r="F8" s="16" t="n">
        <v>0</v>
      </c>
    </row>
  </sheetData>
  <autoFilter ref="A1:F8"/>
  <conditionalFormatting sqref="E2:E8">
    <cfRule type="cellIs" priority="1" operator="greaterThan" dxfId="0">
      <formula>0</formula>
    </cfRule>
  </conditionalFormatting>
  <conditionalFormatting sqref="F2:F8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物料名称</t>
        </is>
      </c>
      <c r="E1" s="14" t="inlineStr">
        <is>
          <t>供应商名称</t>
        </is>
      </c>
      <c r="F1" s="14" t="inlineStr">
        <is>
          <t>异常类型</t>
        </is>
      </c>
      <c r="G1" s="14" t="inlineStr">
        <is>
          <t>判断依据</t>
        </is>
      </c>
      <c r="H1" s="14" t="inlineStr">
        <is>
          <t>影响金额</t>
        </is>
      </c>
      <c r="I1" s="14" t="inlineStr">
        <is>
          <t>风险等级</t>
        </is>
      </c>
      <c r="J1" s="14" t="inlineStr">
        <is>
          <t>建议处理动作</t>
        </is>
      </c>
      <c r="K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16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16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15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16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16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15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16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C260605</t>
        </is>
      </c>
      <c r="B7" s="15" t="n">
        <v>46191</v>
      </c>
      <c r="C7" t="inlineStr">
        <is>
          <t>FG001</t>
        </is>
      </c>
      <c r="D7" t="inlineStr">
        <is>
          <t>B5舒护面膜</t>
        </is>
      </c>
      <c r="E7" t="inlineStr">
        <is>
          <t>示范OEM工厂</t>
        </is>
      </c>
      <c r="F7" t="inlineStr">
        <is>
          <t>首次采购或无有效历史价</t>
        </is>
      </c>
      <c r="G7" t="inlineStr">
        <is>
          <t>相同物料编码+规格+统一单位无有效历史记录</t>
        </is>
      </c>
      <c r="H7" s="16" t="n">
        <v>0</v>
      </c>
      <c r="I7" t="inlineStr">
        <is>
          <t>中</t>
        </is>
      </c>
      <c r="J7" t="inlineStr">
        <is>
          <t>至少完成三家比价或书面说明单一来源，并由经营负责人确认</t>
        </is>
      </c>
      <c r="K7" t="inlineStr">
        <is>
          <t>待确认</t>
        </is>
      </c>
    </row>
    <row r="8">
      <c r="A8" t="inlineStr">
        <is>
          <t>C260606</t>
        </is>
      </c>
      <c r="B8" s="15" t="n">
        <v>46193</v>
      </c>
      <c r="C8" t="inlineStr"/>
      <c r="D8" t="inlineStr">
        <is>
          <t>透明质酸钠</t>
        </is>
      </c>
      <c r="E8" t="inlineStr">
        <is>
          <t>上海原素科技有限公司</t>
        </is>
      </c>
      <c r="F8" t="inlineStr">
        <is>
          <t>关键字段缺失</t>
        </is>
      </c>
      <c r="G8" t="inlineStr">
        <is>
          <t>物料编码</t>
        </is>
      </c>
      <c r="H8" s="16" t="n">
        <v>0</v>
      </c>
      <c r="I8" t="inlineStr">
        <is>
          <t>中</t>
        </is>
      </c>
      <c r="J8" t="inlineStr">
        <is>
          <t>补齐物料编码、规格、单位或税率后重跑</t>
        </is>
      </c>
      <c r="K8" t="inlineStr">
        <is>
          <t>待确认</t>
        </is>
      </c>
    </row>
    <row r="9">
      <c r="A9" t="inlineStr">
        <is>
          <t>C260602</t>
        </is>
      </c>
      <c r="B9" s="15" t="n">
        <v>46181</v>
      </c>
      <c r="C9" t="inlineStr">
        <is>
          <t>PK001</t>
        </is>
      </c>
      <c r="D9" t="inlineStr">
        <is>
          <t>30ml滴管瓶</t>
        </is>
      </c>
      <c r="E9" t="inlineStr">
        <is>
          <t>粤美包材有限公司</t>
        </is>
      </c>
      <c r="F9" t="inlineStr">
        <is>
          <t>同物料同期供应商价差</t>
        </is>
      </c>
      <c r="G9" t="inlineStr">
        <is>
          <t>最高 0.900000，最低 0.810000，价差 11.1% &gt; 10.0%</t>
        </is>
      </c>
      <c r="H9" s="16" t="n">
        <v>8999.999999999996</v>
      </c>
      <c r="I9" t="inlineStr">
        <is>
          <t>中</t>
        </is>
      </c>
      <c r="J9" t="inlineStr">
        <is>
          <t>复核质量、交期、账期差异；条件可比时优先向低价供应商分配增量</t>
        </is>
      </c>
      <c r="K9" t="inlineStr">
        <is>
          <t>待确认</t>
        </is>
      </c>
    </row>
    <row r="10">
      <c r="A10" t="inlineStr">
        <is>
          <t>C260605</t>
        </is>
      </c>
      <c r="B10" s="15" t="n">
        <v>46191</v>
      </c>
      <c r="C10" t="inlineStr">
        <is>
          <t>FG001</t>
        </is>
      </c>
      <c r="D10" t="inlineStr">
        <is>
          <t>B5舒护面膜</t>
        </is>
      </c>
      <c r="E10" t="inlineStr">
        <is>
          <t>示范OEM工厂</t>
        </is>
      </c>
      <c r="F10" t="inlineStr">
        <is>
          <t>单一供应商集中度过高</t>
        </is>
      </c>
      <c r="G10" t="inlineStr">
        <is>
          <t>示范OEM工厂 占物料本月采购额 100.0% &gt; 80.0%</t>
        </is>
      </c>
      <c r="H10" s="16" t="n">
        <v>64000</v>
      </c>
      <c r="I10" t="inlineStr">
        <is>
          <t>高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C260601</t>
        </is>
      </c>
      <c r="B11" s="15" t="n">
        <v>46178</v>
      </c>
      <c r="C11" t="inlineStr">
        <is>
          <t>RM001</t>
        </is>
      </c>
      <c r="D11" t="inlineStr">
        <is>
          <t>透明质酸钠</t>
        </is>
      </c>
      <c r="E11" t="inlineStr">
        <is>
          <t>广州清源原料有限公司</t>
        </is>
      </c>
      <c r="F11" t="inlineStr">
        <is>
          <t>单一供应商集中度过高</t>
        </is>
      </c>
      <c r="G11" t="inlineStr">
        <is>
          <t>广州清源原料有限公司 占物料本月采购额 100.0% &gt; 80.0%</t>
        </is>
      </c>
      <c r="H11" s="16" t="n">
        <v>1254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C260604</t>
        </is>
      </c>
      <c r="B12" s="15" t="n">
        <v>46188</v>
      </c>
      <c r="C12" t="inlineStr">
        <is>
          <t>RM002</t>
        </is>
      </c>
      <c r="D12" t="inlineStr">
        <is>
          <t>烟酰胺</t>
        </is>
      </c>
      <c r="E12" t="inlineStr">
        <is>
          <t>维研原料有限公司</t>
        </is>
      </c>
      <c r="F12" t="inlineStr">
        <is>
          <t>单一供应商集中度过高</t>
        </is>
      </c>
      <c r="G12" t="inlineStr">
        <is>
          <t>维研原料有限公司 占物料本月采购额 100.0% &gt; 80.0%</t>
        </is>
      </c>
      <c r="H12" s="16" t="n">
        <v>2160</v>
      </c>
      <c r="I12" t="inlineStr">
        <is>
          <t>中</t>
        </is>
      </c>
      <c r="J12" t="inlineStr">
        <is>
          <t>评估第二供应源、切换成本和安全库存；非价格因素需形成书面说明</t>
        </is>
      </c>
      <c r="K12" t="inlineStr">
        <is>
          <t>待确认</t>
        </is>
      </c>
    </row>
    <row r="13">
      <c r="A13" t="inlineStr">
        <is>
          <t>C260601</t>
        </is>
      </c>
      <c r="B13" s="15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16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  <row r="14">
      <c r="A14" t="inlineStr">
        <is>
          <t>C260601</t>
        </is>
      </c>
      <c r="B14" s="15" t="n"/>
      <c r="C14" t="inlineStr"/>
      <c r="D14" t="inlineStr"/>
      <c r="E14" t="inlineStr"/>
      <c r="F14" t="inlineStr">
        <is>
          <t>疑似重复订单</t>
        </is>
      </c>
      <c r="G14" t="inlineStr">
        <is>
          <t>订单号 C260601 的完全重复记录，清洗后只保留一条</t>
        </is>
      </c>
      <c r="H14" s="16" t="n">
        <v>0</v>
      </c>
      <c r="I14" t="inlineStr">
        <is>
          <t>中</t>
        </is>
      </c>
      <c r="J14" t="inlineStr">
        <is>
          <t>核对导出范围和订单唯一键；系统已删除完全重复行</t>
        </is>
      </c>
      <c r="K14" t="inlineStr">
        <is>
          <t>待确认</t>
        </is>
      </c>
    </row>
  </sheetData>
  <autoFilter ref="A1:K14"/>
  <conditionalFormatting sqref="H2:H14">
    <cfRule type="cellIs" priority="1" operator="greaterThan" dxfId="1">
      <formula>0</formula>
    </cfRule>
  </conditionalFormatting>
  <conditionalFormatting sqref="I2:I14">
    <cfRule type="expression" priority="2" dxfId="2">
      <formula>$I2="高"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14" t="inlineStr">
        <is>
          <t>问题类型</t>
        </is>
      </c>
      <c r="B1" s="14" t="inlineStr">
        <is>
          <t>文件</t>
        </is>
      </c>
      <c r="C1" s="14" t="inlineStr">
        <is>
          <t>工作表</t>
        </is>
      </c>
      <c r="D1" s="14" t="inlineStr">
        <is>
          <t>数据行</t>
        </is>
      </c>
      <c r="E1" s="14" t="inlineStr">
        <is>
          <t>问题说明</t>
        </is>
      </c>
      <c r="F1" s="14" t="inlineStr">
        <is>
          <t>建议动作</t>
        </is>
      </c>
      <c r="G1" s="14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8</v>
      </c>
      <c r="E6" t="inlineStr">
        <is>
          <t>物料 OT001：箱 → 包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订单状态排除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9</v>
      </c>
      <c r="E7" t="inlineStr">
        <is>
          <t>订单 C260608 状态“已取消”已排除</t>
        </is>
      </c>
      <c r="F7" t="inlineStr">
        <is>
          <t>无需处理；如状态规则变化请修改分析规则配置</t>
        </is>
      </c>
      <c r="G7" t="inlineStr">
        <is>
          <t>已按规则处理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1" customWidth="1" min="3" max="3"/>
  </cols>
  <sheetData>
    <row r="1" ht="30" customHeight="1">
      <c r="A1" s="14" t="inlineStr">
        <is>
          <t>项目</t>
        </is>
      </c>
      <c r="B1" s="14" t="inlineStr">
        <is>
          <t>口径</t>
        </is>
      </c>
      <c r="C1" s="14" t="inlineStr">
        <is>
          <t>说明</t>
        </is>
      </c>
    </row>
    <row r="2">
      <c r="A2" t="inlineStr">
        <is>
          <t>分析期间</t>
        </is>
      </c>
      <c r="B2" t="inlineStr">
        <is>
          <t>2026-06</t>
        </is>
      </c>
      <c r="C2" t="inlineStr">
        <is>
          <t>本期采购订单仅取订单日期位于分析月份的有效记录</t>
        </is>
      </c>
    </row>
    <row r="3">
      <c r="A3" t="inlineStr">
        <is>
          <t>统一价格口径</t>
        </is>
      </c>
      <c r="B3" t="inlineStr">
        <is>
          <t>含税</t>
        </is>
      </c>
      <c r="C3" t="inlineStr">
        <is>
          <t>含税价和未税价按税率相互换算；缺少税率时不擅自换算</t>
        </is>
      </c>
    </row>
    <row r="4">
      <c r="A4" t="inlineStr">
        <is>
          <t>匹配主键</t>
        </is>
      </c>
      <c r="B4" t="inlineStr">
        <is>
          <t>物料编码+规格+统一单位</t>
        </is>
      </c>
      <c r="C4" t="inlineStr">
        <is>
          <t>无物料编码仅给候选，不自动匹配</t>
        </is>
      </c>
    </row>
    <row r="5">
      <c r="A5" t="inlineStr">
        <is>
          <t>上次采购价</t>
        </is>
      </c>
      <c r="B5" t="inlineStr">
        <is>
          <t>最近一次有效采购单价</t>
        </is>
      </c>
      <c r="C5" t="inlineStr">
        <is>
          <t>必须早于本次订单日期且税价、单位口径一致</t>
        </is>
      </c>
    </row>
    <row r="6">
      <c r="A6" t="inlineStr">
        <is>
          <t>12个月加权均价</t>
        </is>
      </c>
      <c r="B6" t="inlineStr">
        <is>
          <t>Σ(历史单价×历史标准数量)÷Σ历史标准数量</t>
        </is>
      </c>
      <c r="C6" t="inlineStr">
        <is>
          <t>回溯月数可在分析规则配置修改</t>
        </is>
      </c>
    </row>
    <row r="7">
      <c r="A7" t="inlineStr">
        <is>
          <t>环比节约金额</t>
        </is>
      </c>
      <c r="B7" t="inlineStr">
        <is>
          <t>(上次采购价-本次采购价)×本次标准数量</t>
        </is>
      </c>
      <c r="C7" t="inlineStr">
        <is>
          <t>与其他节约类型分开展示</t>
        </is>
      </c>
    </row>
    <row r="8">
      <c r="A8" t="inlineStr">
        <is>
          <t>历史基准节约金额</t>
        </is>
      </c>
      <c r="B8" t="inlineStr">
        <is>
          <t>(12个月加权均价-本次采购价)×本次标准数量</t>
        </is>
      </c>
      <c r="C8" t="inlineStr">
        <is>
          <t>正式汇总默认采用该口径</t>
        </is>
      </c>
    </row>
    <row r="9">
      <c r="A9" t="inlineStr">
        <is>
          <t>议价节约金额</t>
        </is>
      </c>
      <c r="B9" t="inlineStr">
        <is>
          <t>(供应商初始报价-最终成交价)×本次数量</t>
        </is>
      </c>
      <c r="C9" t="inlineStr">
        <is>
          <t>报价单位默认与订单原单位一致；否则需先补单位字段/换算规则</t>
        </is>
      </c>
    </row>
    <row r="10">
      <c r="A10" t="inlineStr">
        <is>
          <t>正式汇总节约金额</t>
        </is>
      </c>
      <c r="B10" t="inlineStr">
        <is>
          <t>仅人工确认=已确认且历史基准节约&gt;0时计入</t>
        </is>
      </c>
      <c r="C10" t="inlineStr">
        <is>
          <t>演示数据默认全部待确认，因此驾驶舱经确认节约为0</t>
        </is>
      </c>
    </row>
    <row r="11">
      <c r="A11" t="inlineStr">
        <is>
          <t>涨价影响金额</t>
        </is>
      </c>
      <c r="B11" t="inlineStr">
        <is>
          <t>MAX((本次采购价-12个月加权均价)×本次数量,0)</t>
        </is>
      </c>
      <c r="C11" t="inlineStr">
        <is>
          <t>用于识别成本增加，不与节约相抵</t>
        </is>
      </c>
    </row>
    <row r="12">
      <c r="A12" t="inlineStr">
        <is>
          <t>趋势平均单价限制</t>
        </is>
      </c>
      <c r="B12" t="inlineStr">
        <is>
          <t>跨物料加权平均单价仅辅助观察</t>
        </is>
      </c>
      <c r="C12" t="inlineStr">
        <is>
          <t>不同物料和单位混合，不作为正式价格判断</t>
        </is>
      </c>
    </row>
    <row r="13">
      <c r="A13" t="inlineStr">
        <is>
          <t>数据状态</t>
        </is>
      </c>
      <c r="B13" t="inlineStr">
        <is>
          <t>演示数据</t>
        </is>
      </c>
      <c r="C13" t="inlineStr">
        <is>
          <t>本次输出不得当作正式经营结果</t>
        </is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2026-07-27T03:27:40Z</dcterms:created>
  <dcterms:modified xmlns:dcterms="http://purl.org/dc/terms/" xmlns:xsi="http://www.w3.org/2001/XMLSchema-instance" xsi:type="dcterms:W3CDTF">2026-07-27T03:27:40Z</dcterms:modified>
</cp:coreProperties>
</file>