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'节约金额明细'!$A$1:$V$8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'价格异常清单'!$A$1:$K$13</definedName>
    <definedName name="_xlnm._FilterDatabase" localSheetId="8" hidden="1">'待人工确认'!$A$1:$G$9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'管理驾驶舱'!$A$29:$A$32</f>
            </numRef>
          </cat>
          <val>
            <numRef>
              <f>'管理驾驶舱'!$B$29:$B$32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'管理驾驶舱'!$F$29:$F$40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'管理驾驶舱'!$G$29:$G$40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</row>
    <row r="2"/>
    <row r="3">
      <c r="A3" s="2" t="inlineStr">
        <is>
          <t>版本 V002｜生成时间 2026-07-27 11:26｜正式节约口径：近12个月加权平均价，经人工确认后计入</t>
        </is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</row>
    <row r="9">
      <c r="A9" s="7" t="n">
        <v>0</v>
      </c>
      <c r="B9" s="4" t="n"/>
      <c r="C9" s="8" t="n">
        <v>0</v>
      </c>
      <c r="D9" s="4" t="n"/>
      <c r="E9" s="9" t="n">
        <v>9029.090909090912</v>
      </c>
      <c r="F9" s="4" t="n"/>
      <c r="G9" s="10" t="n">
        <v>12</v>
      </c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  <row r="28">
      <c r="A28" t="inlineStr">
        <is>
          <t>品类</t>
        </is>
      </c>
      <c r="B28" t="inlineStr">
        <is>
          <t>采购金额</t>
        </is>
      </c>
      <c r="E28" t="inlineStr">
        <is>
          <t>月份</t>
        </is>
      </c>
      <c r="F28" t="inlineStr">
        <is>
          <t>采购金额</t>
        </is>
      </c>
      <c r="G28" t="inlineStr">
        <is>
          <t>跨物料加权平均单价</t>
        </is>
      </c>
    </row>
    <row r="29">
      <c r="A29" t="inlineStr">
        <is>
          <t>包材</t>
        </is>
      </c>
      <c r="B29" t="n">
        <v>114300</v>
      </c>
      <c r="E29" t="inlineStr">
        <is>
          <t>2025-07</t>
        </is>
      </c>
      <c r="F29" t="n">
        <v>1130</v>
      </c>
      <c r="G29" t="n">
        <v>0.0113</v>
      </c>
    </row>
    <row r="30">
      <c r="A30" t="inlineStr">
        <is>
          <t>成品</t>
        </is>
      </c>
      <c r="B30" t="n">
        <v>64000</v>
      </c>
      <c r="E30" t="inlineStr">
        <is>
          <t>2025-08</t>
        </is>
      </c>
      <c r="F30" t="n">
        <v>0</v>
      </c>
    </row>
    <row r="31">
      <c r="A31" t="inlineStr">
        <is>
          <t>原料</t>
        </is>
      </c>
      <c r="B31" t="n">
        <v>3521</v>
      </c>
      <c r="E31" t="inlineStr">
        <is>
          <t>2025-09</t>
        </is>
      </c>
      <c r="F31" t="n">
        <v>0</v>
      </c>
    </row>
    <row r="32">
      <c r="A32" t="inlineStr">
        <is>
          <t>其他</t>
        </is>
      </c>
      <c r="B32" t="n">
        <v>0</v>
      </c>
      <c r="E32" t="inlineStr">
        <is>
          <t>2025-10</t>
        </is>
      </c>
      <c r="F32" t="n">
        <v>880</v>
      </c>
      <c r="G32" t="n">
        <v>0.011</v>
      </c>
    </row>
    <row r="33">
      <c r="E33" t="inlineStr">
        <is>
          <t>2025-11</t>
        </is>
      </c>
      <c r="F33" t="n">
        <v>40000</v>
      </c>
      <c r="G33" t="n">
        <v>0.8</v>
      </c>
    </row>
    <row r="34">
      <c r="E34" t="inlineStr">
        <is>
          <t>2025-12</t>
        </is>
      </c>
      <c r="F34" t="n">
        <v>0</v>
      </c>
    </row>
    <row r="35">
      <c r="E35" t="inlineStr">
        <is>
          <t>2026-01</t>
        </is>
      </c>
      <c r="F35" t="n">
        <v>0</v>
      </c>
    </row>
    <row r="36">
      <c r="E36" t="inlineStr">
        <is>
          <t>2026-02</t>
        </is>
      </c>
      <c r="F36" t="n">
        <v>49200</v>
      </c>
      <c r="G36" t="n">
        <v>0.82</v>
      </c>
    </row>
    <row r="37">
      <c r="E37" t="inlineStr">
        <is>
          <t>2026-03</t>
        </is>
      </c>
      <c r="F37" t="n">
        <v>1296</v>
      </c>
      <c r="G37" t="n">
        <v>0.0108</v>
      </c>
    </row>
    <row r="38">
      <c r="E38" t="inlineStr">
        <is>
          <t>2026-04</t>
        </is>
      </c>
      <c r="F38" t="n">
        <v>1650</v>
      </c>
      <c r="G38" t="n">
        <v>0.033</v>
      </c>
    </row>
    <row r="39">
      <c r="E39" t="inlineStr">
        <is>
          <t>2026-05</t>
        </is>
      </c>
      <c r="F39" t="n">
        <v>3450</v>
      </c>
      <c r="G39" t="n">
        <v>0.0345</v>
      </c>
    </row>
    <row r="40">
      <c r="E40" t="inlineStr">
        <is>
          <t>2026-06</t>
        </is>
      </c>
      <c r="F40" t="n">
        <v>181821</v>
      </c>
      <c r="G40" t="n">
        <v>0.3797225806451613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K6" s="16" t="n">
        <v>12.8</v>
      </c>
      <c r="L6" s="16" t="n"/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不可比-缺少单位换算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K7" s="16" t="n">
        <v>10.7</v>
      </c>
      <c r="L7" s="16" t="n"/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不可比-缺少单位换算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/>
      <c r="I6" s="16" t="n"/>
      <c r="J6" s="16" t="n"/>
      <c r="K6" s="16" t="n"/>
      <c r="L6" s="16" t="n"/>
      <c r="M6" t="n">
        <v>0</v>
      </c>
      <c r="N6" t="inlineStr">
        <is>
          <t>否</t>
        </is>
      </c>
      <c r="O6" t="inlineStr">
        <is>
          <t>否</t>
        </is>
      </c>
      <c r="P6" t="inlineStr">
        <is>
          <t>否</t>
        </is>
      </c>
      <c r="Q6" t="inlineStr">
        <is>
          <t>不可比-缺少单位换算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/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不可比-缺少单位换算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  <c r="V1" s="11" t="inlineStr">
        <is>
          <t>复核_正式汇总节约金额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 t="n">
        <v>0</v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  <c r="V2" s="16">
        <f>IF(Q2="已确认",MAX(T2,0),0)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 t="n">
        <v>0</v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  <c r="V3" s="16">
        <f>IF(Q3="已确认",MAX(T3,0),0)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 t="n">
        <v>0</v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  <c r="V4" s="16">
        <f>IF(Q4="已确认",MAX(T4,0),0)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 t="n">
        <v>0</v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  <c r="V5" s="16">
        <f>IF(Q5="已确认",MAX(T5,0),0)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16" t="n"/>
      <c r="I6" s="16" t="n"/>
      <c r="J6" s="16" t="n"/>
      <c r="K6" s="16" t="n">
        <v>13.5</v>
      </c>
      <c r="L6" s="16" t="n">
        <v>12.8</v>
      </c>
      <c r="M6" s="16" t="n"/>
      <c r="N6" s="16" t="n"/>
      <c r="O6" s="16" t="n"/>
      <c r="P6" s="17" t="n"/>
      <c r="Q6" t="inlineStr">
        <is>
          <t>待确认</t>
        </is>
      </c>
      <c r="R6" s="16" t="n">
        <v>0</v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  <c r="V6" s="16">
        <f>IF(Q6="已确认",MAX(T6,0),0)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 t="n">
        <v>0</v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  <c r="V7" s="16">
        <f>IF(Q7="已确认",MAX(T7,0),0)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 t="n">
        <v>0</v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  <c r="V8" s="16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180000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16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15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16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15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16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15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16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15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16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15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16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conditionalFormatting sqref="H2:H13">
    <cfRule type="cellIs" priority="1" operator="greaterThan" dxfId="1">
      <formula>0</formula>
    </cfRule>
  </conditionalFormatting>
  <conditionalFormatting sqref="I2:I13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1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本次输出不得当作正式经营结果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2026-07-27T03:26:12Z</dcterms:created>
  <dcterms:modified xmlns:dcterms="http://purl.org/dc/terms/" xmlns:xsi="http://www.w3.org/2001/XMLSchema-instance" xsi:type="dcterms:W3CDTF">2026-07-27T03:26:13Z</dcterms:modified>
</cp:coreProperties>
</file>