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节约金额明细" sheetId="2" state="visible" r:id="rId2"/>
  </sheets>
  <definedNames>
    <definedName name="_xlnm._FilterDatabase" localSheetId="1" hidden="1">'节约金额明细'!$A$1:$V$8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1">
    <dxf>
      <font>
        <color rgb="00006100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SavingOnly" displayName="TSavingOnly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采购节约金额明细_2026-06_V004</t>
        </is>
      </c>
    </row>
    <row r="3">
      <c r="A3" s="2" t="inlineStr">
        <is>
          <t>三类节约金额分开展示，不直接相加。正式汇总默认采用经人工确认的近12个月加权平均价节约金额。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标准物料名称</t>
        </is>
      </c>
      <c r="E1" s="3" t="inlineStr">
        <is>
          <t>供应商名称</t>
        </is>
      </c>
      <c r="F1" s="3" t="inlineStr">
        <is>
          <t>标准单位</t>
        </is>
      </c>
      <c r="G1" s="3" t="inlineStr">
        <is>
          <t>标准数量</t>
        </is>
      </c>
      <c r="H1" s="3" t="inlineStr">
        <is>
          <t>标准比较单价</t>
        </is>
      </c>
      <c r="I1" s="3" t="inlineStr">
        <is>
          <t>上次采购价</t>
        </is>
      </c>
      <c r="J1" s="3" t="inlineStr">
        <is>
          <t>近12个月加权平均价</t>
        </is>
      </c>
      <c r="K1" s="3" t="inlineStr">
        <is>
          <t>初始报价</t>
        </is>
      </c>
      <c r="L1" s="3" t="inlineStr">
        <is>
          <t>最终批准报价</t>
        </is>
      </c>
      <c r="M1" s="3" t="inlineStr">
        <is>
          <t>环比节约金额</t>
        </is>
      </c>
      <c r="N1" s="3" t="inlineStr">
        <is>
          <t>历史基准节约金额</t>
        </is>
      </c>
      <c r="O1" s="3" t="inlineStr">
        <is>
          <t>议价节约金额</t>
        </is>
      </c>
      <c r="P1" s="3" t="inlineStr">
        <is>
          <t>节约率</t>
        </is>
      </c>
      <c r="Q1" s="3" t="inlineStr">
        <is>
          <t>人工确认状态</t>
        </is>
      </c>
      <c r="R1" s="3" t="inlineStr">
        <is>
          <t>正式汇总节约金额</t>
        </is>
      </c>
      <c r="S1" s="7" t="inlineStr">
        <is>
          <t>复核_环比节约金额</t>
        </is>
      </c>
      <c r="T1" s="7" t="inlineStr">
        <is>
          <t>复核_历史基准节约金额</t>
        </is>
      </c>
      <c r="U1" s="7" t="inlineStr">
        <is>
          <t>复核_涨价影响金额</t>
        </is>
      </c>
      <c r="V1" s="7" t="inlineStr">
        <is>
          <t>复核_正式汇总节约金额</t>
        </is>
      </c>
    </row>
    <row r="2">
      <c r="A2" t="inlineStr">
        <is>
          <t>C260601</t>
        </is>
      </c>
      <c r="B2" s="8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9" t="n">
        <v>0.01045</v>
      </c>
      <c r="I2" s="9" t="n">
        <v>0.0108</v>
      </c>
      <c r="J2" s="9" t="n">
        <v>0.01102</v>
      </c>
      <c r="K2" s="9" t="n">
        <v>0.0112</v>
      </c>
      <c r="L2" s="9" t="n">
        <v>0.0105</v>
      </c>
      <c r="M2" s="9" t="n">
        <v>42.00000000000016</v>
      </c>
      <c r="N2" s="9" t="n">
        <v>68.40000000000013</v>
      </c>
      <c r="O2" s="9" t="n">
        <v>90.00000000000009</v>
      </c>
      <c r="P2" s="10" t="n">
        <v>0.05172413793103458</v>
      </c>
      <c r="Q2" t="inlineStr">
        <is>
          <t>待确认</t>
        </is>
      </c>
      <c r="R2" s="9" t="n">
        <v>0</v>
      </c>
      <c r="S2" s="9">
        <f>IF(OR(I2="",H2="",G2=""),"",(I2-H2)*G2)</f>
        <v/>
      </c>
      <c r="T2" s="9">
        <f>IF(OR(J2="",H2="",G2=""),"",(J2-H2)*G2)</f>
        <v/>
      </c>
      <c r="U2" s="9">
        <f>IF(OR(J2="",H2="",G2=""),"",MAX((H2-J2)*G2,0))</f>
        <v/>
      </c>
      <c r="V2" s="9">
        <f>IF(Q2="已确认",MAX(T2,0),0)</f>
        <v/>
      </c>
    </row>
    <row r="3">
      <c r="A3" t="inlineStr">
        <is>
          <t>C260602</t>
        </is>
      </c>
      <c r="B3" s="8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9" t="n">
        <v>0.9</v>
      </c>
      <c r="I3" s="9" t="n">
        <v>0.82</v>
      </c>
      <c r="J3" s="9" t="n">
        <v>0.8109090909090909</v>
      </c>
      <c r="K3" s="9" t="n">
        <v>0.88</v>
      </c>
      <c r="L3" s="9" t="n">
        <v>0.85</v>
      </c>
      <c r="M3" s="9" t="n">
        <v>-8000.000000000007</v>
      </c>
      <c r="N3" s="9" t="n">
        <v>-8909.090909090912</v>
      </c>
      <c r="O3" s="9" t="n">
        <v>-2000.000000000002</v>
      </c>
      <c r="P3" s="10" t="n">
        <v>-0.109865470852018</v>
      </c>
      <c r="Q3" t="inlineStr">
        <is>
          <t>待确认</t>
        </is>
      </c>
      <c r="R3" s="9" t="n">
        <v>0</v>
      </c>
      <c r="S3" s="9">
        <f>IF(OR(I3="",H3="",G3=""),"",(I3-H3)*G3)</f>
        <v/>
      </c>
      <c r="T3" s="9">
        <f>IF(OR(J3="",H3="",G3=""),"",(J3-H3)*G3)</f>
        <v/>
      </c>
      <c r="U3" s="9">
        <f>IF(OR(J3="",H3="",G3=""),"",MAX((H3-J3)*G3,0))</f>
        <v/>
      </c>
      <c r="V3" s="9">
        <f>IF(Q3="已确认",MAX(T3,0),0)</f>
        <v/>
      </c>
    </row>
    <row r="4">
      <c r="A4" t="inlineStr">
        <is>
          <t>C260603</t>
        </is>
      </c>
      <c r="B4" s="8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9" t="n">
        <v>0.8100000000000001</v>
      </c>
      <c r="I4" s="9" t="n">
        <v>0.9</v>
      </c>
      <c r="J4" s="9" t="n">
        <v>0.8533333333333334</v>
      </c>
      <c r="K4" s="9" t="n">
        <v>0.86</v>
      </c>
      <c r="L4" s="9" t="n">
        <v>0.8100000000000001</v>
      </c>
      <c r="M4" s="9" t="n">
        <v>2699.999999999999</v>
      </c>
      <c r="N4" s="9" t="n">
        <v>1300</v>
      </c>
      <c r="O4" s="9" t="n">
        <v>1499.999999999998</v>
      </c>
      <c r="P4" s="10" t="n">
        <v>0.05078125</v>
      </c>
      <c r="Q4" t="inlineStr">
        <is>
          <t>待确认</t>
        </is>
      </c>
      <c r="R4" s="9" t="n">
        <v>0</v>
      </c>
      <c r="S4" s="9">
        <f>IF(OR(I4="",H4="",G4=""),"",(I4-H4)*G4)</f>
        <v/>
      </c>
      <c r="T4" s="9">
        <f>IF(OR(J4="",H4="",G4=""),"",(J4-H4)*G4)</f>
        <v/>
      </c>
      <c r="U4" s="9">
        <f>IF(OR(J4="",H4="",G4=""),"",MAX((H4-J4)*G4,0))</f>
        <v/>
      </c>
      <c r="V4" s="9">
        <f>IF(Q4="已确认",MAX(T4,0),0)</f>
        <v/>
      </c>
    </row>
    <row r="5">
      <c r="A5" t="inlineStr">
        <is>
          <t>C260604</t>
        </is>
      </c>
      <c r="B5" s="8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9" t="n">
        <v>0.036</v>
      </c>
      <c r="I5" s="9" t="n">
        <v>0.035</v>
      </c>
      <c r="J5" s="9" t="n">
        <v>0.034</v>
      </c>
      <c r="K5" s="9" t="n">
        <v>37</v>
      </c>
      <c r="L5" s="9" t="n">
        <v>35.5</v>
      </c>
      <c r="M5" s="9" t="n">
        <v>-59.99999999999964</v>
      </c>
      <c r="N5" s="9" t="n">
        <v>-119.9999999999997</v>
      </c>
      <c r="O5" s="9" t="n">
        <v>60.00000000000006</v>
      </c>
      <c r="P5" s="10" t="n">
        <v>-0.05882352941176455</v>
      </c>
      <c r="Q5" t="inlineStr">
        <is>
          <t>待确认</t>
        </is>
      </c>
      <c r="R5" s="9" t="n">
        <v>0</v>
      </c>
      <c r="S5" s="9">
        <f>IF(OR(I5="",H5="",G5=""),"",(I5-H5)*G5)</f>
        <v/>
      </c>
      <c r="T5" s="9">
        <f>IF(OR(J5="",H5="",G5=""),"",(J5-H5)*G5)</f>
        <v/>
      </c>
      <c r="U5" s="9">
        <f>IF(OR(J5="",H5="",G5=""),"",MAX((H5-J5)*G5,0))</f>
        <v/>
      </c>
      <c r="V5" s="9">
        <f>IF(Q5="已确认",MAX(T5,0),0)</f>
        <v/>
      </c>
    </row>
    <row r="6">
      <c r="A6" t="inlineStr">
        <is>
          <t>C260605</t>
        </is>
      </c>
      <c r="B6" s="8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9" t="n"/>
      <c r="I6" s="9" t="n"/>
      <c r="J6" s="9" t="n"/>
      <c r="K6" s="9" t="n">
        <v>13.5</v>
      </c>
      <c r="L6" s="9" t="n">
        <v>12.8</v>
      </c>
      <c r="M6" s="9" t="n"/>
      <c r="N6" s="9" t="n"/>
      <c r="O6" s="9" t="n"/>
      <c r="P6" s="10" t="n"/>
      <c r="Q6" t="inlineStr">
        <is>
          <t>待确认</t>
        </is>
      </c>
      <c r="R6" s="9" t="n">
        <v>0</v>
      </c>
      <c r="S6" s="9">
        <f>IF(OR(I6="",H6="",G6=""),"",(I6-H6)*G6)</f>
        <v/>
      </c>
      <c r="T6" s="9">
        <f>IF(OR(J6="",H6="",G6=""),"",(J6-H6)*G6)</f>
        <v/>
      </c>
      <c r="U6" s="9">
        <f>IF(OR(J6="",H6="",G6=""),"",MAX((H6-J6)*G6,0))</f>
        <v/>
      </c>
      <c r="V6" s="9">
        <f>IF(Q6="已确认",MAX(T6,0),0)</f>
        <v/>
      </c>
    </row>
    <row r="7">
      <c r="A7" t="inlineStr">
        <is>
          <t>C260606</t>
        </is>
      </c>
      <c r="B7" s="8" t="n">
        <v>46193</v>
      </c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10" t="n"/>
      <c r="Q7" t="inlineStr">
        <is>
          <t>待确认</t>
        </is>
      </c>
      <c r="R7" s="9" t="n">
        <v>0</v>
      </c>
      <c r="S7" s="9">
        <f>IF(OR(I7="",H7="",G7=""),"",(I7-H7)*G7)</f>
        <v/>
      </c>
      <c r="T7" s="9">
        <f>IF(OR(J7="",H7="",G7=""),"",(J7-H7)*G7)</f>
        <v/>
      </c>
      <c r="U7" s="9">
        <f>IF(OR(J7="",H7="",G7=""),"",MAX((H7-J7)*G7,0))</f>
        <v/>
      </c>
      <c r="V7" s="9">
        <f>IF(Q7="已确认",MAX(T7,0),0)</f>
        <v/>
      </c>
    </row>
    <row r="8">
      <c r="A8" t="inlineStr">
        <is>
          <t>C260607</t>
        </is>
      </c>
      <c r="B8" s="8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9" t="n"/>
      <c r="I8" s="9" t="n"/>
      <c r="J8" s="9" t="n"/>
      <c r="K8" s="9" t="n"/>
      <c r="L8" s="9" t="n"/>
      <c r="M8" s="9" t="n"/>
      <c r="N8" s="9" t="n"/>
      <c r="O8" s="9" t="n"/>
      <c r="P8" s="10" t="n"/>
      <c r="Q8" t="inlineStr">
        <is>
          <t>待确认</t>
        </is>
      </c>
      <c r="R8" s="9" t="n">
        <v>0</v>
      </c>
      <c r="S8" s="9">
        <f>IF(OR(I8="",H8="",G8=""),"",(I8-H8)*G8)</f>
        <v/>
      </c>
      <c r="T8" s="9">
        <f>IF(OR(J8="",H8="",G8=""),"",(J8-H8)*G8)</f>
        <v/>
      </c>
      <c r="U8" s="9">
        <f>IF(OR(J8="",H8="",G8=""),"",MAX((H8-J8)*G8,0))</f>
        <v/>
      </c>
      <c r="V8" s="9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2026-07-27T03:27:00Z</dcterms:created>
  <dcterms:modified xmlns:dcterms="http://purl.org/dc/terms/" xmlns:xsi="http://www.w3.org/2001/XMLSchema-instance" xsi:type="dcterms:W3CDTF">2026-07-27T03:27:00Z</dcterms:modified>
</cp:coreProperties>
</file>